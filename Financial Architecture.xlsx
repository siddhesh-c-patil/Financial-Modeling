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esh Patil\Downloads\"/>
    </mc:Choice>
  </mc:AlternateContent>
  <xr:revisionPtr revIDLastSave="0" documentId="13_ncr:1_{421389B6-4AD9-4F8F-9C92-757B17DFC43F}" xr6:coauthVersionLast="47" xr6:coauthVersionMax="47" xr10:uidLastSave="{00000000-0000-0000-0000-000000000000}"/>
  <bookViews>
    <workbookView xWindow="-110" yWindow="-110" windowWidth="19420" windowHeight="10300" activeTab="1" xr2:uid="{61AA7339-76F2-4410-8C27-4BFC675FD3CA}"/>
  </bookViews>
  <sheets>
    <sheet name="Forecast" sheetId="1" r:id="rId1"/>
    <sheet name="Co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I17" i="1"/>
  <c r="J17" i="1"/>
  <c r="K17" i="1"/>
  <c r="G17" i="1"/>
  <c r="G4" i="1" s="1"/>
  <c r="H28" i="1"/>
  <c r="I28" i="1"/>
  <c r="J28" i="1"/>
  <c r="K28" i="1"/>
  <c r="H26" i="1"/>
  <c r="I26" i="1"/>
  <c r="J26" i="1"/>
  <c r="K26" i="1"/>
  <c r="G26" i="1"/>
  <c r="G28" i="1"/>
  <c r="B2" i="1"/>
  <c r="B2" i="2"/>
  <c r="E22" i="1"/>
  <c r="F22" i="1" s="1"/>
  <c r="G22" i="1" s="1"/>
  <c r="H22" i="1" s="1"/>
  <c r="I22" i="1" s="1"/>
  <c r="J22" i="1" s="1"/>
  <c r="K22" i="1" s="1"/>
  <c r="G21" i="1"/>
  <c r="G10" i="1" s="1"/>
  <c r="E21" i="1"/>
  <c r="F21" i="1"/>
  <c r="D21" i="1"/>
  <c r="E19" i="1"/>
  <c r="F19" i="1"/>
  <c r="E20" i="1"/>
  <c r="F20" i="1"/>
  <c r="D20" i="1"/>
  <c r="G20" i="1" s="1"/>
  <c r="D19" i="1"/>
  <c r="E18" i="1"/>
  <c r="F18" i="1"/>
  <c r="D18" i="1"/>
  <c r="G18" i="1" s="1"/>
  <c r="F17" i="1"/>
  <c r="G27" i="1" s="1"/>
  <c r="E17" i="1"/>
  <c r="G19" i="1" l="1"/>
  <c r="H19" i="1" s="1"/>
  <c r="H18" i="1"/>
  <c r="H20" i="1"/>
  <c r="G8" i="1"/>
  <c r="H27" i="1"/>
  <c r="I27" i="1" s="1"/>
  <c r="J27" i="1" s="1"/>
  <c r="K27" i="1" s="1"/>
  <c r="H21" i="1"/>
  <c r="G7" i="1" l="1"/>
  <c r="I19" i="1"/>
  <c r="I20" i="1"/>
  <c r="I18" i="1"/>
  <c r="H10" i="1"/>
  <c r="I21" i="1"/>
  <c r="H4" i="1"/>
  <c r="H8" i="1" s="1"/>
  <c r="G5" i="1"/>
  <c r="G6" i="1" s="1"/>
  <c r="G9" i="1" s="1"/>
  <c r="G11" i="1" s="1"/>
  <c r="G12" i="1" l="1"/>
  <c r="G13" i="1" s="1"/>
  <c r="J21" i="1"/>
  <c r="I10" i="1"/>
  <c r="J20" i="1"/>
  <c r="J18" i="1"/>
  <c r="J19" i="1"/>
  <c r="I4" i="1"/>
  <c r="I8" i="1" s="1"/>
  <c r="H5" i="1"/>
  <c r="H6" i="1" s="1"/>
  <c r="H7" i="1"/>
  <c r="I5" i="1" l="1"/>
  <c r="H9" i="1"/>
  <c r="H11" i="1" s="1"/>
  <c r="H12" i="1" s="1"/>
  <c r="H13" i="1" s="1"/>
  <c r="K18" i="1"/>
  <c r="J4" i="1"/>
  <c r="J7" i="1" s="1"/>
  <c r="I6" i="1"/>
  <c r="K21" i="1"/>
  <c r="K10" i="1" s="1"/>
  <c r="J10" i="1"/>
  <c r="I7" i="1"/>
  <c r="K19" i="1"/>
  <c r="K20" i="1"/>
  <c r="J8" i="1" l="1"/>
  <c r="I9" i="1"/>
  <c r="I11" i="1" s="1"/>
  <c r="J5" i="1"/>
  <c r="J6" i="1" s="1"/>
  <c r="J9" i="1" s="1"/>
  <c r="J11" i="1" s="1"/>
  <c r="I12" i="1"/>
  <c r="I13" i="1" s="1"/>
  <c r="K4" i="1"/>
  <c r="K8" i="1" s="1"/>
  <c r="J12" i="1" l="1"/>
  <c r="J13" i="1" s="1"/>
  <c r="K7" i="1"/>
  <c r="K5" i="1"/>
  <c r="K6" i="1" s="1"/>
  <c r="K9" i="1" s="1"/>
  <c r="K11" i="1" s="1"/>
  <c r="K12" i="1" l="1"/>
  <c r="K13" i="1" s="1"/>
  <c r="E3" i="1" l="1"/>
  <c r="F3" i="1" s="1"/>
  <c r="G3" i="1" s="1"/>
  <c r="H3" i="1" s="1"/>
  <c r="I3" i="1" s="1"/>
  <c r="J3" i="1" s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Siddhesh Patil</author>
  </authors>
  <commentList>
    <comment ref="C6" authorId="0" shapeId="0" xr:uid="{77630D19-132E-4075-A151-2B3E596AE119}">
      <text>
        <r>
          <rPr>
            <b/>
            <sz val="9"/>
            <color indexed="81"/>
            <rFont val="Tahoma"/>
            <family val="2"/>
          </rPr>
          <t>Siddhesh Patil:</t>
        </r>
        <r>
          <rPr>
            <sz val="9"/>
            <color indexed="81"/>
            <rFont val="Tahoma"/>
            <family val="2"/>
          </rPr>
          <t xml:space="preserve">
1 - Best case
2 - Base case
3 - Worst case</t>
        </r>
      </text>
    </comment>
  </commentList>
</comments>
</file>

<file path=xl/sharedStrings.xml><?xml version="1.0" encoding="utf-8"?>
<sst xmlns="http://schemas.openxmlformats.org/spreadsheetml/2006/main" count="41" uniqueCount="41">
  <si>
    <t>Revenue</t>
  </si>
  <si>
    <t>Cost of goods sold</t>
  </si>
  <si>
    <t>Gross Profit</t>
  </si>
  <si>
    <t>Selling, general &amp; administrative</t>
  </si>
  <si>
    <t>R&amp;D</t>
  </si>
  <si>
    <t>Operating Income</t>
  </si>
  <si>
    <t>Pre-tax Income</t>
  </si>
  <si>
    <t>Taxes</t>
  </si>
  <si>
    <t>Net Income</t>
  </si>
  <si>
    <t>Income Statement Assumptions</t>
  </si>
  <si>
    <t>Revenue Growth Rate</t>
  </si>
  <si>
    <t>SG&amp;A as % of Revenue</t>
  </si>
  <si>
    <t>COGS as % of Revenue</t>
  </si>
  <si>
    <t>R&amp;D as % of Revenue</t>
  </si>
  <si>
    <t>Other income/(expense), net</t>
  </si>
  <si>
    <t>Tax Rate</t>
  </si>
  <si>
    <t>Other Income/(expense), net</t>
  </si>
  <si>
    <t>Scenario Analysis</t>
  </si>
  <si>
    <t>General Settings</t>
  </si>
  <si>
    <t>Company Name</t>
  </si>
  <si>
    <t>Company Ticker</t>
  </si>
  <si>
    <t>Currency</t>
  </si>
  <si>
    <t>Last Update</t>
  </si>
  <si>
    <t>Contact</t>
  </si>
  <si>
    <t>ABC</t>
  </si>
  <si>
    <t>USD</t>
  </si>
  <si>
    <t>Stuart</t>
  </si>
  <si>
    <t>Table of Contents</t>
  </si>
  <si>
    <t>Cover Page</t>
  </si>
  <si>
    <t>Income Statement</t>
  </si>
  <si>
    <t>BalanceSheet</t>
  </si>
  <si>
    <t>Cash Flow Statement</t>
  </si>
  <si>
    <t>Assumptions &amp; Drivers</t>
  </si>
  <si>
    <t xml:space="preserve">Live Scenario </t>
  </si>
  <si>
    <t>Alerts</t>
  </si>
  <si>
    <t>Balance Sheet Balances?</t>
  </si>
  <si>
    <t>Revenue Scenarios</t>
  </si>
  <si>
    <t>Best Case</t>
  </si>
  <si>
    <t>Base Case</t>
  </si>
  <si>
    <t>Worst Case</t>
  </si>
  <si>
    <t>FinPractice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</si>
</sst>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2" fillId="2" borderId="2" xfId="0" applyFont="1" applyFill="1" applyBorder="1"/>
    <xf numFmtId="0" fontId="0" fillId="2" borderId="2" xfId="0" applyFill="1" applyBorder="1"/>
    <xf numFmtId="0" fontId="0" fillId="3" borderId="0" xfId="0" applyFill="1"/>
    <xf numFmtId="0" fontId="0" fillId="4" borderId="0" xfId="0" applyFill="1"/>
    <xf numFmtId="3" fontId="3" fillId="0" borderId="0" xfId="0" applyNumberFormat="1" applyFont="1" applyProtection="1">
      <protection locked="0"/>
    </xf>
    <xf numFmtId="3" fontId="4" fillId="0" borderId="1" xfId="0" applyNumberFormat="1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Alignment="1" applyProtection="1">
      <alignment horizontal="right"/>
      <protection locked="0"/>
    </xf>
    <xf numFmtId="3" fontId="4" fillId="2" borderId="2" xfId="0" applyNumberFormat="1" applyFont="1" applyFill="1" applyBorder="1" applyProtection="1">
      <protection locked="0"/>
    </xf>
    <xf numFmtId="0" fontId="1" fillId="4" borderId="0" xfId="0" applyFont="1" applyFill="1"/>
    <xf numFmtId="10" fontId="0" fillId="0" borderId="0" xfId="0" applyNumberFormat="1"/>
    <xf numFmtId="1" fontId="0" fillId="0" borderId="0" xfId="0" applyNumberFormat="1"/>
    <xf numFmtId="3" fontId="0" fillId="0" borderId="0" xfId="0" applyNumberFormat="1"/>
    <xf numFmtId="1" fontId="2" fillId="0" borderId="1" xfId="0" applyNumberFormat="1" applyFont="1" applyBorder="1"/>
    <xf numFmtId="1" fontId="0" fillId="2" borderId="2" xfId="0" applyNumberFormat="1" applyFill="1" applyBorder="1"/>
    <xf numFmtId="14" fontId="0" fillId="0" borderId="0" xfId="0" applyNumberFormat="1"/>
    <xf numFmtId="0" fontId="6" fillId="0" borderId="0" xfId="0" applyFont="1"/>
    <xf numFmtId="0" fontId="7" fillId="0" borderId="0" xfId="1"/>
    <xf numFmtId="10" fontId="5" fillId="0" borderId="0" xfId="0" applyNumberFormat="1" applyFont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37F3-291D-4233-BD26-00D4A624603E}">
  <dimension ref="B2:K28"/>
  <sheetViews>
    <sheetView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M11" sqref="M11"/>
    </sheetView>
  </sheetViews>
  <sheetFormatPr defaultRowHeight="14.5" outlineLevelRow="1" outlineLevelCol="1" x14ac:dyDescent="0.35"/>
  <cols>
    <col min="2" max="2" width="27.7265625" bestFit="1" customWidth="1"/>
    <col min="7" max="7" width="8.6328125" customWidth="1" outlineLevel="1"/>
    <col min="8" max="11" width="8.7265625" customWidth="1" outlineLevel="1"/>
  </cols>
  <sheetData>
    <row r="2" spans="2:11" x14ac:dyDescent="0.35">
      <c r="B2" s="11" t="str">
        <f>"Income Statement of "&amp;Cover!F6</f>
        <v>Income Statement of FinPractice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35">
      <c r="B3" s="4"/>
      <c r="C3" s="4"/>
      <c r="D3" s="4">
        <v>2023</v>
      </c>
      <c r="E3" s="4">
        <f>D3+1</f>
        <v>2024</v>
      </c>
      <c r="F3" s="4">
        <f t="shared" ref="F3:K3" si="0">E3+1</f>
        <v>2025</v>
      </c>
      <c r="G3" s="4">
        <f t="shared" si="0"/>
        <v>2026</v>
      </c>
      <c r="H3" s="4">
        <f t="shared" si="0"/>
        <v>2027</v>
      </c>
      <c r="I3" s="4">
        <f t="shared" si="0"/>
        <v>2028</v>
      </c>
      <c r="J3" s="4">
        <f t="shared" si="0"/>
        <v>2029</v>
      </c>
      <c r="K3" s="4">
        <f t="shared" si="0"/>
        <v>2030</v>
      </c>
    </row>
    <row r="4" spans="2:11" ht="15.5" x14ac:dyDescent="0.35">
      <c r="B4" t="s">
        <v>0</v>
      </c>
      <c r="D4" s="6">
        <v>5210</v>
      </c>
      <c r="E4" s="6">
        <v>5435</v>
      </c>
      <c r="F4" s="6">
        <v>5710</v>
      </c>
      <c r="G4" s="13">
        <f>F4*(1+G17)</f>
        <v>5806.4537668166977</v>
      </c>
      <c r="H4" s="13">
        <f>G4*(1+H27)</f>
        <v>6078.7304512146275</v>
      </c>
      <c r="I4" s="13">
        <f>H4*(1+I27)</f>
        <v>6363.7747552034334</v>
      </c>
      <c r="J4" s="13">
        <f>I4*(1+J27)</f>
        <v>6662.1853790000587</v>
      </c>
      <c r="K4" s="13">
        <f>J4*(1+K27)</f>
        <v>6974.5890971188674</v>
      </c>
    </row>
    <row r="5" spans="2:11" ht="15.5" x14ac:dyDescent="0.35">
      <c r="B5" t="s">
        <v>1</v>
      </c>
      <c r="D5" s="6">
        <v>3345</v>
      </c>
      <c r="E5" s="6">
        <v>3350</v>
      </c>
      <c r="F5" s="6">
        <v>3551</v>
      </c>
      <c r="G5" s="13">
        <f>G18*G4</f>
        <v>3639.2942128946152</v>
      </c>
      <c r="H5" s="13">
        <f t="shared" ref="H5:K5" si="1">H18*H4</f>
        <v>3809.9482819063041</v>
      </c>
      <c r="I5" s="13">
        <f t="shared" si="1"/>
        <v>3988.604674876045</v>
      </c>
      <c r="J5" s="13">
        <f t="shared" si="1"/>
        <v>4175.6386374050735</v>
      </c>
      <c r="K5" s="13">
        <f t="shared" si="1"/>
        <v>4371.4430111407219</v>
      </c>
    </row>
    <row r="6" spans="2:11" ht="15.5" x14ac:dyDescent="0.35">
      <c r="B6" s="1" t="s">
        <v>2</v>
      </c>
      <c r="C6" s="1"/>
      <c r="D6" s="7">
        <v>1865</v>
      </c>
      <c r="E6" s="7">
        <v>2085</v>
      </c>
      <c r="F6" s="7">
        <v>2159</v>
      </c>
      <c r="G6" s="15">
        <f>G4-G5</f>
        <v>2167.1595539220825</v>
      </c>
      <c r="H6" s="15">
        <f t="shared" ref="H6:K6" si="2">H4-H5</f>
        <v>2268.7821693083233</v>
      </c>
      <c r="I6" s="15">
        <f t="shared" si="2"/>
        <v>2375.1700803273884</v>
      </c>
      <c r="J6" s="15">
        <f t="shared" si="2"/>
        <v>2486.5467415949852</v>
      </c>
      <c r="K6" s="15">
        <f t="shared" si="2"/>
        <v>2603.1460859781455</v>
      </c>
    </row>
    <row r="7" spans="2:11" ht="15.5" x14ac:dyDescent="0.35">
      <c r="B7" t="s">
        <v>3</v>
      </c>
      <c r="D7" s="8">
        <v>850</v>
      </c>
      <c r="E7" s="8">
        <v>870</v>
      </c>
      <c r="F7" s="8">
        <v>900</v>
      </c>
      <c r="G7" s="13">
        <f>G19*G4</f>
        <v>930.65764217612195</v>
      </c>
      <c r="H7" s="13">
        <f t="shared" ref="H7:K7" si="3">H19*H4</f>
        <v>974.29811315850441</v>
      </c>
      <c r="I7" s="13">
        <f t="shared" si="3"/>
        <v>1019.9849765211297</v>
      </c>
      <c r="J7" s="13">
        <f t="shared" si="3"/>
        <v>1067.8141918556259</v>
      </c>
      <c r="K7" s="13">
        <f t="shared" si="3"/>
        <v>1117.8862184983007</v>
      </c>
    </row>
    <row r="8" spans="2:11" ht="15.5" x14ac:dyDescent="0.35">
      <c r="B8" t="s">
        <v>4</v>
      </c>
      <c r="D8" s="9">
        <v>400</v>
      </c>
      <c r="E8" s="9">
        <v>420</v>
      </c>
      <c r="F8" s="9">
        <v>400</v>
      </c>
      <c r="G8" s="13">
        <f>G20*G4</f>
        <v>433.75154191374475</v>
      </c>
      <c r="H8" s="13">
        <f t="shared" ref="H8:K8" si="4">H20*H4</f>
        <v>454.091053158921</v>
      </c>
      <c r="I8" s="13">
        <f t="shared" si="4"/>
        <v>475.38432635700548</v>
      </c>
      <c r="J8" s="13">
        <f t="shared" si="4"/>
        <v>497.67608538812755</v>
      </c>
      <c r="K8" s="13">
        <f t="shared" si="4"/>
        <v>521.01315132810294</v>
      </c>
    </row>
    <row r="9" spans="2:11" ht="15.5" x14ac:dyDescent="0.35">
      <c r="B9" s="1" t="s">
        <v>5</v>
      </c>
      <c r="C9" s="1"/>
      <c r="D9" s="7">
        <v>615</v>
      </c>
      <c r="E9" s="7">
        <v>795</v>
      </c>
      <c r="F9" s="7">
        <v>859</v>
      </c>
      <c r="G9" s="15">
        <f>G6-G7-G8</f>
        <v>802.75036983221582</v>
      </c>
      <c r="H9" s="15">
        <f t="shared" ref="H9:K9" si="5">H6-H7-H8</f>
        <v>840.39300299089803</v>
      </c>
      <c r="I9" s="15">
        <f t="shared" si="5"/>
        <v>879.80077744925325</v>
      </c>
      <c r="J9" s="15">
        <f t="shared" si="5"/>
        <v>921.05646435123163</v>
      </c>
      <c r="K9" s="15">
        <f t="shared" si="5"/>
        <v>964.24671615174191</v>
      </c>
    </row>
    <row r="10" spans="2:11" ht="15.5" x14ac:dyDescent="0.35">
      <c r="B10" t="s">
        <v>16</v>
      </c>
      <c r="D10" s="6">
        <v>50</v>
      </c>
      <c r="E10" s="6">
        <v>50</v>
      </c>
      <c r="F10" s="6">
        <v>50</v>
      </c>
      <c r="G10" s="14">
        <f>G21</f>
        <v>50</v>
      </c>
      <c r="H10" s="14">
        <f t="shared" ref="H10:K10" si="6">H21</f>
        <v>50</v>
      </c>
      <c r="I10" s="14">
        <f t="shared" si="6"/>
        <v>50</v>
      </c>
      <c r="J10" s="14">
        <f t="shared" si="6"/>
        <v>50</v>
      </c>
      <c r="K10" s="14">
        <f t="shared" si="6"/>
        <v>50</v>
      </c>
    </row>
    <row r="11" spans="2:11" ht="15.5" x14ac:dyDescent="0.35">
      <c r="B11" s="1" t="s">
        <v>6</v>
      </c>
      <c r="C11" s="1"/>
      <c r="D11" s="7">
        <v>565</v>
      </c>
      <c r="E11" s="7">
        <v>745</v>
      </c>
      <c r="F11" s="7">
        <v>809</v>
      </c>
      <c r="G11" s="15">
        <f>G9-G10</f>
        <v>752.75036983221582</v>
      </c>
      <c r="H11" s="15">
        <f t="shared" ref="H11:K11" si="7">H9-H10</f>
        <v>790.39300299089803</v>
      </c>
      <c r="I11" s="15">
        <f t="shared" si="7"/>
        <v>829.80077744925325</v>
      </c>
      <c r="J11" s="15">
        <f t="shared" si="7"/>
        <v>871.05646435123163</v>
      </c>
      <c r="K11" s="15">
        <f t="shared" si="7"/>
        <v>914.24671615174191</v>
      </c>
    </row>
    <row r="12" spans="2:11" ht="15.5" x14ac:dyDescent="0.35">
      <c r="B12" t="s">
        <v>7</v>
      </c>
      <c r="D12" s="6">
        <v>227.5</v>
      </c>
      <c r="E12" s="6">
        <v>186.25</v>
      </c>
      <c r="F12" s="6">
        <v>147.25</v>
      </c>
      <c r="G12" s="13">
        <f>G11*G22</f>
        <v>188.18759245805396</v>
      </c>
      <c r="H12" s="13">
        <f t="shared" ref="H12:K12" si="8">H11*H22</f>
        <v>197.59825074772451</v>
      </c>
      <c r="I12" s="13">
        <f t="shared" si="8"/>
        <v>207.45019436231331</v>
      </c>
      <c r="J12" s="13">
        <f t="shared" si="8"/>
        <v>217.76411608780791</v>
      </c>
      <c r="K12" s="13">
        <f t="shared" si="8"/>
        <v>228.56167903793548</v>
      </c>
    </row>
    <row r="13" spans="2:11" ht="15.5" x14ac:dyDescent="0.35">
      <c r="B13" s="2" t="s">
        <v>8</v>
      </c>
      <c r="C13" s="3"/>
      <c r="D13" s="10">
        <v>337.5</v>
      </c>
      <c r="E13" s="10">
        <v>558.75</v>
      </c>
      <c r="F13" s="10">
        <v>661.75</v>
      </c>
      <c r="G13" s="16">
        <f>G11-G12</f>
        <v>564.5627773741619</v>
      </c>
      <c r="H13" s="16">
        <f t="shared" ref="H13:K13" si="9">H11-H12</f>
        <v>592.79475224317355</v>
      </c>
      <c r="I13" s="16">
        <f t="shared" si="9"/>
        <v>622.35058308693988</v>
      </c>
      <c r="J13" s="16">
        <f t="shared" si="9"/>
        <v>653.29234826342372</v>
      </c>
      <c r="K13" s="16">
        <f t="shared" si="9"/>
        <v>685.6850371138064</v>
      </c>
    </row>
    <row r="16" spans="2:11" x14ac:dyDescent="0.35">
      <c r="B16" s="11" t="s">
        <v>9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outlineLevel="1" x14ac:dyDescent="0.35">
      <c r="B17" t="s">
        <v>10</v>
      </c>
      <c r="E17" s="12">
        <f>(E4-D4)/D4</f>
        <v>4.3186180422264873E-2</v>
      </c>
      <c r="F17" s="12">
        <f>(F4-E4)/E4</f>
        <v>5.0597976080956765E-2</v>
      </c>
      <c r="G17" s="12">
        <f>CHOOSE(Cover!$C$6,Forecast!G26,Forecast!G27,Forecast!G28)</f>
        <v>1.689207825161082E-2</v>
      </c>
      <c r="H17" s="12">
        <f>CHOOSE(Cover!$C$6,Forecast!H26,Forecast!H27,Forecast!H28)</f>
        <v>1.689207825161082E-2</v>
      </c>
      <c r="I17" s="12">
        <f>CHOOSE(Cover!$C$6,Forecast!I26,Forecast!I27,Forecast!I28)</f>
        <v>1.689207825161082E-2</v>
      </c>
      <c r="J17" s="12">
        <f>CHOOSE(Cover!$C$6,Forecast!J26,Forecast!J27,Forecast!J28)</f>
        <v>1.689207825161082E-2</v>
      </c>
      <c r="K17" s="12">
        <f>CHOOSE(Cover!$C$6,Forecast!K26,Forecast!K27,Forecast!K28)</f>
        <v>1.689207825161082E-2</v>
      </c>
    </row>
    <row r="18" spans="2:11" outlineLevel="1" x14ac:dyDescent="0.35">
      <c r="B18" t="s">
        <v>12</v>
      </c>
      <c r="D18" s="12">
        <f>D5/D4</f>
        <v>0.64203454894433776</v>
      </c>
      <c r="E18" s="12">
        <f t="shared" ref="E18:F18" si="10">E5/E4</f>
        <v>0.6163753449862005</v>
      </c>
      <c r="F18" s="12">
        <f t="shared" si="10"/>
        <v>0.62189141856392294</v>
      </c>
      <c r="G18" s="12">
        <f>AVERAGE(D18:F18)</f>
        <v>0.6267671041648204</v>
      </c>
      <c r="H18" s="12">
        <f>G18</f>
        <v>0.6267671041648204</v>
      </c>
      <c r="I18" s="12">
        <f t="shared" ref="I18:K18" si="11">H18</f>
        <v>0.6267671041648204</v>
      </c>
      <c r="J18" s="12">
        <f t="shared" si="11"/>
        <v>0.6267671041648204</v>
      </c>
      <c r="K18" s="12">
        <f t="shared" si="11"/>
        <v>0.6267671041648204</v>
      </c>
    </row>
    <row r="19" spans="2:11" outlineLevel="1" x14ac:dyDescent="0.35">
      <c r="B19" t="s">
        <v>11</v>
      </c>
      <c r="D19" s="12">
        <f>D7/D4</f>
        <v>0.16314779270633398</v>
      </c>
      <c r="E19" s="12">
        <f t="shared" ref="E19:F19" si="12">E7/E4</f>
        <v>0.16007359705611776</v>
      </c>
      <c r="F19" s="12">
        <f t="shared" si="12"/>
        <v>0.15761821366024517</v>
      </c>
      <c r="G19" s="12">
        <f t="shared" ref="G19:G20" si="13">AVERAGE(D19:F19)</f>
        <v>0.16027986780756565</v>
      </c>
      <c r="H19" s="12">
        <f t="shared" ref="H19:K20" si="14">G19</f>
        <v>0.16027986780756565</v>
      </c>
      <c r="I19" s="12">
        <f t="shared" si="14"/>
        <v>0.16027986780756565</v>
      </c>
      <c r="J19" s="12">
        <f t="shared" si="14"/>
        <v>0.16027986780756565</v>
      </c>
      <c r="K19" s="12">
        <f t="shared" si="14"/>
        <v>0.16027986780756565</v>
      </c>
    </row>
    <row r="20" spans="2:11" outlineLevel="1" x14ac:dyDescent="0.35">
      <c r="B20" t="s">
        <v>13</v>
      </c>
      <c r="D20" s="12">
        <f>D8/D4</f>
        <v>7.6775431861804216E-2</v>
      </c>
      <c r="E20" s="12">
        <f t="shared" ref="E20:F20" si="15">E8/E4</f>
        <v>7.7276908923643056E-2</v>
      </c>
      <c r="F20" s="12">
        <f t="shared" si="15"/>
        <v>7.0052539404553416E-2</v>
      </c>
      <c r="G20" s="12">
        <f t="shared" si="13"/>
        <v>7.4701626730000234E-2</v>
      </c>
      <c r="H20" s="12">
        <f t="shared" si="14"/>
        <v>7.4701626730000234E-2</v>
      </c>
      <c r="I20" s="12">
        <f t="shared" si="14"/>
        <v>7.4701626730000234E-2</v>
      </c>
      <c r="J20" s="12">
        <f t="shared" si="14"/>
        <v>7.4701626730000234E-2</v>
      </c>
      <c r="K20" s="12">
        <f t="shared" si="14"/>
        <v>7.4701626730000234E-2</v>
      </c>
    </row>
    <row r="21" spans="2:11" outlineLevel="1" x14ac:dyDescent="0.35">
      <c r="B21" t="s">
        <v>14</v>
      </c>
      <c r="D21" s="14">
        <f>D10</f>
        <v>50</v>
      </c>
      <c r="E21" s="14">
        <f t="shared" ref="E21:F21" si="16">E10</f>
        <v>50</v>
      </c>
      <c r="F21" s="14">
        <f t="shared" si="16"/>
        <v>50</v>
      </c>
      <c r="G21" s="14">
        <f>F21</f>
        <v>50</v>
      </c>
      <c r="H21" s="14">
        <f t="shared" ref="H21:K21" si="17">G21</f>
        <v>50</v>
      </c>
      <c r="I21" s="14">
        <f t="shared" si="17"/>
        <v>50</v>
      </c>
      <c r="J21" s="14">
        <f t="shared" si="17"/>
        <v>50</v>
      </c>
      <c r="K21" s="14">
        <f t="shared" si="17"/>
        <v>50</v>
      </c>
    </row>
    <row r="22" spans="2:11" outlineLevel="1" x14ac:dyDescent="0.35">
      <c r="B22" t="s">
        <v>15</v>
      </c>
      <c r="D22" s="20">
        <v>0.25</v>
      </c>
      <c r="E22" s="12">
        <f>D22</f>
        <v>0.25</v>
      </c>
      <c r="F22" s="12">
        <f t="shared" ref="F22:K22" si="18">E22</f>
        <v>0.25</v>
      </c>
      <c r="G22" s="12">
        <f t="shared" si="18"/>
        <v>0.25</v>
      </c>
      <c r="H22" s="12">
        <f t="shared" si="18"/>
        <v>0.25</v>
      </c>
      <c r="I22" s="12">
        <f t="shared" si="18"/>
        <v>0.25</v>
      </c>
      <c r="J22" s="12">
        <f t="shared" si="18"/>
        <v>0.25</v>
      </c>
      <c r="K22" s="12">
        <f t="shared" si="18"/>
        <v>0.25</v>
      </c>
    </row>
    <row r="25" spans="2:11" x14ac:dyDescent="0.35">
      <c r="B25" s="11" t="s">
        <v>36</v>
      </c>
      <c r="C25" s="5"/>
      <c r="D25" s="5"/>
      <c r="E25" s="5"/>
      <c r="F25" s="5"/>
      <c r="G25" s="5"/>
      <c r="H25" s="5"/>
      <c r="I25" s="5"/>
      <c r="J25" s="5"/>
      <c r="K25" s="5"/>
    </row>
    <row r="26" spans="2:11" x14ac:dyDescent="0.35">
      <c r="B26" t="s">
        <v>37</v>
      </c>
      <c r="G26" s="12">
        <f>G27+3%</f>
        <v>7.6892078251610818E-2</v>
      </c>
      <c r="H26" s="12">
        <f t="shared" ref="H26:K26" si="19">H27+3%</f>
        <v>7.6892078251610818E-2</v>
      </c>
      <c r="I26" s="12">
        <f t="shared" si="19"/>
        <v>7.6892078251610818E-2</v>
      </c>
      <c r="J26" s="12">
        <f t="shared" si="19"/>
        <v>7.6892078251610818E-2</v>
      </c>
      <c r="K26" s="12">
        <f t="shared" si="19"/>
        <v>7.6892078251610818E-2</v>
      </c>
    </row>
    <row r="27" spans="2:11" x14ac:dyDescent="0.35">
      <c r="B27" t="s">
        <v>38</v>
      </c>
      <c r="G27" s="12">
        <f>AVERAGE(F17,E17)</f>
        <v>4.6892078251610819E-2</v>
      </c>
      <c r="H27" s="12">
        <f>G27</f>
        <v>4.6892078251610819E-2</v>
      </c>
      <c r="I27" s="12">
        <f t="shared" ref="I27:K27" si="20">H27</f>
        <v>4.6892078251610819E-2</v>
      </c>
      <c r="J27" s="12">
        <f t="shared" si="20"/>
        <v>4.6892078251610819E-2</v>
      </c>
      <c r="K27" s="12">
        <f t="shared" si="20"/>
        <v>4.6892078251610819E-2</v>
      </c>
    </row>
    <row r="28" spans="2:11" x14ac:dyDescent="0.35">
      <c r="B28" t="s">
        <v>39</v>
      </c>
      <c r="G28" s="12">
        <f>G27-3%</f>
        <v>1.689207825161082E-2</v>
      </c>
      <c r="H28" s="12">
        <f t="shared" ref="H28:K28" si="21">H27-3%</f>
        <v>1.689207825161082E-2</v>
      </c>
      <c r="I28" s="12">
        <f t="shared" si="21"/>
        <v>1.689207825161082E-2</v>
      </c>
      <c r="J28" s="12">
        <f t="shared" si="21"/>
        <v>1.689207825161082E-2</v>
      </c>
      <c r="K28" s="12">
        <f t="shared" si="21"/>
        <v>1.689207825161082E-2</v>
      </c>
    </row>
  </sheetData>
  <sheetProtection sheet="1" objects="1" scenarios="1"/>
  <pageMargins left="0.7" right="0.7" top="0.75" bottom="0.75" header="0.3" footer="0.3"/>
  <ignoredErrors>
    <ignoredError sqref="G12 H12:K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E4AA-4542-49E9-B644-F39C36317406}">
  <dimension ref="B2:I10"/>
  <sheetViews>
    <sheetView tabSelected="1" workbookViewId="0">
      <selection activeCell="F7" sqref="F7"/>
    </sheetView>
  </sheetViews>
  <sheetFormatPr defaultRowHeight="14.5" x14ac:dyDescent="0.35"/>
  <cols>
    <col min="2" max="2" width="21.26953125" bestFit="1" customWidth="1"/>
    <col min="5" max="5" width="14.36328125" bestFit="1" customWidth="1"/>
    <col min="6" max="6" width="10.08984375" bestFit="1" customWidth="1"/>
    <col min="8" max="8" width="19.90625" bestFit="1" customWidth="1"/>
    <col min="9" max="9" width="5.90625" customWidth="1"/>
  </cols>
  <sheetData>
    <row r="2" spans="2:9" ht="36" x14ac:dyDescent="0.8">
      <c r="B2" s="18" t="str">
        <f>F6&amp;" Financial Model"</f>
        <v>FinPractice Financial Model</v>
      </c>
    </row>
    <row r="4" spans="2:9" x14ac:dyDescent="0.35">
      <c r="B4" s="11" t="s">
        <v>17</v>
      </c>
      <c r="C4" s="5"/>
      <c r="E4" s="11" t="s">
        <v>18</v>
      </c>
      <c r="F4" s="5"/>
      <c r="H4" s="11" t="s">
        <v>27</v>
      </c>
      <c r="I4" s="5"/>
    </row>
    <row r="6" spans="2:9" x14ac:dyDescent="0.35">
      <c r="B6" t="s">
        <v>33</v>
      </c>
      <c r="C6">
        <v>3</v>
      </c>
      <c r="E6" t="s">
        <v>19</v>
      </c>
      <c r="F6" t="s">
        <v>40</v>
      </c>
      <c r="H6" t="s">
        <v>28</v>
      </c>
    </row>
    <row r="7" spans="2:9" x14ac:dyDescent="0.35">
      <c r="E7" t="s">
        <v>20</v>
      </c>
      <c r="F7" t="s">
        <v>24</v>
      </c>
      <c r="H7" s="19" t="s">
        <v>29</v>
      </c>
    </row>
    <row r="8" spans="2:9" x14ac:dyDescent="0.35">
      <c r="B8" s="11" t="s">
        <v>34</v>
      </c>
      <c r="C8" s="11"/>
      <c r="E8" t="s">
        <v>21</v>
      </c>
      <c r="F8" t="s">
        <v>25</v>
      </c>
      <c r="H8" t="s">
        <v>30</v>
      </c>
    </row>
    <row r="9" spans="2:9" x14ac:dyDescent="0.35">
      <c r="E9" t="s">
        <v>22</v>
      </c>
      <c r="F9" s="17">
        <v>46023</v>
      </c>
      <c r="H9" t="s">
        <v>31</v>
      </c>
    </row>
    <row r="10" spans="2:9" x14ac:dyDescent="0.35">
      <c r="B10" t="s">
        <v>35</v>
      </c>
      <c r="E10" t="s">
        <v>23</v>
      </c>
      <c r="F10" t="s">
        <v>26</v>
      </c>
      <c r="H10" t="s">
        <v>32</v>
      </c>
    </row>
  </sheetData>
  <dataValidations count="1">
    <dataValidation type="list" allowBlank="1" showInputMessage="1" showErrorMessage="1" sqref="C6" xr:uid="{738C4E0C-F1A9-4BCB-A545-B0698E2EB12E}">
      <formula1>"1,2,3"</formula1>
    </dataValidation>
  </dataValidations>
  <hyperlinks>
    <hyperlink ref="H7" location="Forecast!A1" display="Income Statement" xr:uid="{189EC7CF-D3A3-4285-BE91-6E09073B46F4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</vt:lpstr>
      <vt:lpstr>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Patil</dc:creator>
  <cp:lastModifiedBy>Siddhesh Patil</cp:lastModifiedBy>
  <dcterms:created xsi:type="dcterms:W3CDTF">2026-02-06T14:45:05Z</dcterms:created>
  <dcterms:modified xsi:type="dcterms:W3CDTF">2026-02-10T07:29:55Z</dcterms:modified>
</cp:coreProperties>
</file>